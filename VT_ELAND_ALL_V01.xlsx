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p\Downloads\ELAND-main\ELAND-main\"/>
    </mc:Choice>
  </mc:AlternateContent>
  <xr:revisionPtr revIDLastSave="0" documentId="13_ncr:1_{25F7ECB1-660D-4F71-A322-BBB3E9C06DD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9" l="1"/>
  <c r="E6" i="13"/>
  <c r="D6" i="13"/>
  <c r="C6" i="13"/>
  <c r="B6" i="13"/>
  <c r="C9" i="9"/>
  <c r="F17" i="9"/>
  <c r="E17" i="9"/>
  <c r="D17" i="9"/>
  <c r="C17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14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<sst xmlns="http://schemas.openxmlformats.org/spreadsheetml/2006/main" count="322" uniqueCount="188">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</sst>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1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23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</cellXfs>
  <cellStyles count="4">
    <cellStyle name="Normal" xfId="0" builtinId="0"/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4.4" x14ac:dyDescent="0.3"/>
  <cols>
    <col min="2" max="2" width="19.109375" customWidth="1"/>
    <col min="3" max="3" width="15.44140625" customWidth="1"/>
    <col min="6" max="6" width="4.6640625" bestFit="1" customWidth="1"/>
    <col min="7" max="7" width="9.33203125" bestFit="1" customWidth="1"/>
    <col min="8" max="8" width="1.6640625" bestFit="1" customWidth="1"/>
    <col min="9" max="9" width="5.33203125" bestFit="1" customWidth="1"/>
    <col min="10" max="10" width="9" bestFit="1" customWidth="1"/>
    <col min="11" max="11" width="1.6640625" bestFit="1" customWidth="1"/>
    <col min="12" max="12" width="8.6640625" bestFit="1" customWidth="1"/>
    <col min="13" max="13" width="7.33203125" bestFit="1" customWidth="1"/>
  </cols>
  <sheetData>
    <row r="2" spans="2:13" x14ac:dyDescent="0.3">
      <c r="B2" s="9" t="s">
        <v>92</v>
      </c>
      <c r="F2" s="110" t="s">
        <v>91</v>
      </c>
      <c r="G2" s="110"/>
      <c r="H2" s="110"/>
      <c r="I2" s="110"/>
      <c r="J2" s="110"/>
      <c r="K2" s="110"/>
      <c r="L2" s="110"/>
      <c r="M2" s="110"/>
    </row>
    <row r="3" spans="2:13" x14ac:dyDescent="0.3">
      <c r="F3" s="9"/>
    </row>
    <row r="4" spans="2:13" x14ac:dyDescent="0.3">
      <c r="B4" t="s">
        <v>70</v>
      </c>
      <c r="C4" t="s">
        <v>71</v>
      </c>
    </row>
    <row r="5" spans="2:13" x14ac:dyDescent="0.3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3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3">
      <c r="B8" t="s">
        <v>82</v>
      </c>
      <c r="C8" t="s">
        <v>83</v>
      </c>
    </row>
    <row r="9" spans="2:13" x14ac:dyDescent="0.3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3">
      <c r="B11" t="s">
        <v>85</v>
      </c>
      <c r="C11" t="s">
        <v>86</v>
      </c>
    </row>
    <row r="12" spans="2:13" x14ac:dyDescent="0.3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3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3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3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4.4" x14ac:dyDescent="0.3"/>
  <sheetData>
    <row r="2" spans="2:2" x14ac:dyDescent="0.3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workbookViewId="0">
      <selection activeCell="I8" sqref="I8"/>
    </sheetView>
  </sheetViews>
  <sheetFormatPr defaultRowHeight="14.4" x14ac:dyDescent="0.3"/>
  <cols>
    <col min="1" max="1" width="2.6640625" customWidth="1"/>
    <col min="2" max="2" width="3.33203125" customWidth="1"/>
    <col min="3" max="3" width="14.33203125" customWidth="1"/>
    <col min="4" max="4" width="14" customWidth="1"/>
    <col min="5" max="5" width="13.33203125" customWidth="1"/>
    <col min="6" max="6" width="20.33203125" customWidth="1"/>
    <col min="7" max="7" width="5.88671875" customWidth="1"/>
    <col min="8" max="8" width="9.88671875" customWidth="1"/>
    <col min="9" max="9" width="10.33203125" customWidth="1"/>
    <col min="10" max="10" width="9.44140625" customWidth="1"/>
    <col min="11" max="11" width="10.5546875" customWidth="1"/>
    <col min="12" max="12" width="3.33203125" customWidth="1"/>
  </cols>
  <sheetData>
    <row r="2" spans="2:12" ht="17.399999999999999" x14ac:dyDescent="0.3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5" thickBot="1" x14ac:dyDescent="0.35"/>
    <row r="4" spans="2:12" ht="18" customHeight="1" thickBot="1" x14ac:dyDescent="0.35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35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5" thickBot="1" x14ac:dyDescent="0.35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40.200000000000003" thickBot="1" x14ac:dyDescent="0.35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3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H8" s="21"/>
      <c r="I8" s="21"/>
      <c r="J8" s="21"/>
      <c r="K8" s="48"/>
      <c r="L8" s="34"/>
    </row>
    <row r="9" spans="2:12" ht="18.75" customHeight="1" x14ac:dyDescent="0.3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H9" s="23"/>
      <c r="I9" s="23"/>
      <c r="J9" s="23"/>
      <c r="K9" s="50"/>
      <c r="L9" s="34"/>
    </row>
    <row r="10" spans="2:12" ht="18.75" customHeight="1" x14ac:dyDescent="0.3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H10" s="23"/>
      <c r="I10" s="23"/>
      <c r="J10" s="23"/>
      <c r="K10" s="50"/>
      <c r="L10" s="34"/>
    </row>
    <row r="11" spans="2:12" ht="18.75" customHeight="1" thickBot="1" x14ac:dyDescent="0.35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H11" s="63"/>
      <c r="I11" s="63"/>
      <c r="J11" s="63"/>
      <c r="K11" s="64" t="s">
        <v>18</v>
      </c>
      <c r="L11" s="34"/>
    </row>
    <row r="12" spans="2:12" ht="18.75" customHeight="1" thickBot="1" x14ac:dyDescent="0.35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H12" s="13"/>
      <c r="I12" s="13"/>
      <c r="J12" s="13"/>
      <c r="K12" s="13"/>
      <c r="L12" s="34"/>
    </row>
    <row r="13" spans="2:12" ht="18.75" customHeight="1" thickBot="1" x14ac:dyDescent="0.35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H13" s="13"/>
      <c r="I13" s="13"/>
      <c r="J13" s="13"/>
      <c r="K13" s="13"/>
      <c r="L13" s="34"/>
    </row>
    <row r="14" spans="2:12" ht="18" customHeight="1" thickBot="1" x14ac:dyDescent="0.35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8" thickBot="1" x14ac:dyDescent="0.35">
      <c r="C17" s="111" t="s">
        <v>134</v>
      </c>
      <c r="D17" s="111"/>
      <c r="E17" s="111"/>
    </row>
    <row r="18" spans="3:5" x14ac:dyDescent="0.3">
      <c r="C18" s="101" t="s">
        <v>140</v>
      </c>
      <c r="D18" s="112" t="s">
        <v>141</v>
      </c>
      <c r="E18" s="113"/>
    </row>
    <row r="19" spans="3:5" x14ac:dyDescent="0.3">
      <c r="C19" s="98" t="s">
        <v>15</v>
      </c>
      <c r="D19" s="116" t="s">
        <v>139</v>
      </c>
      <c r="E19" s="116"/>
    </row>
    <row r="20" spans="3:5" x14ac:dyDescent="0.3">
      <c r="C20" s="99" t="s">
        <v>137</v>
      </c>
      <c r="D20" s="115" t="s">
        <v>142</v>
      </c>
      <c r="E20" s="115"/>
    </row>
    <row r="21" spans="3:5" x14ac:dyDescent="0.3">
      <c r="C21" s="98" t="s">
        <v>138</v>
      </c>
      <c r="D21" s="116" t="s">
        <v>143</v>
      </c>
      <c r="E21" s="116"/>
    </row>
    <row r="22" spans="3:5" x14ac:dyDescent="0.3">
      <c r="C22" s="99" t="s">
        <v>144</v>
      </c>
      <c r="D22" s="115" t="s">
        <v>146</v>
      </c>
      <c r="E22" s="115"/>
    </row>
    <row r="23" spans="3:5" ht="15" thickBot="1" x14ac:dyDescent="0.35">
      <c r="C23" s="100" t="s">
        <v>145</v>
      </c>
      <c r="D23" s="114" t="s">
        <v>147</v>
      </c>
      <c r="E23" s="114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3"/>
  <sheetViews>
    <sheetView tabSelected="1" zoomScaleNormal="100" workbookViewId="0">
      <selection activeCell="I20" sqref="I20"/>
    </sheetView>
  </sheetViews>
  <sheetFormatPr defaultRowHeight="14.4" x14ac:dyDescent="0.3"/>
  <cols>
    <col min="1" max="1" width="2.6640625" customWidth="1"/>
    <col min="2" max="2" width="3.33203125" customWidth="1"/>
    <col min="4" max="4" width="10" customWidth="1"/>
    <col min="5" max="5" width="16.33203125" bestFit="1" customWidth="1"/>
    <col min="6" max="6" width="22.6640625" bestFit="1" customWidth="1"/>
    <col min="9" max="9" width="10" customWidth="1"/>
    <col min="10" max="10" width="10.88671875" customWidth="1"/>
    <col min="12" max="12" width="3.33203125" customWidth="1"/>
  </cols>
  <sheetData>
    <row r="2" spans="2:12" ht="17.399999999999999" x14ac:dyDescent="0.3">
      <c r="C2" s="1" t="s">
        <v>37</v>
      </c>
      <c r="D2" s="2"/>
      <c r="E2" s="2"/>
    </row>
    <row r="3" spans="2:12" ht="15" thickBot="1" x14ac:dyDescent="0.35"/>
    <row r="4" spans="2:12" ht="18" customHeight="1" thickBot="1" x14ac:dyDescent="0.35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35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5" thickBot="1" x14ac:dyDescent="0.35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9.6" x14ac:dyDescent="0.3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3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3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3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1" t="s">
        <v>186</v>
      </c>
      <c r="J10" s="23"/>
      <c r="K10" s="50"/>
      <c r="L10" s="34"/>
    </row>
    <row r="11" spans="2:12" ht="18.75" customHeight="1" x14ac:dyDescent="0.3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1" t="s">
        <v>186</v>
      </c>
      <c r="J11" s="23"/>
      <c r="K11" s="50"/>
      <c r="L11" s="34"/>
    </row>
    <row r="12" spans="2:12" ht="18.75" customHeight="1" x14ac:dyDescent="0.3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3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35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21" t="s">
        <v>187</v>
      </c>
      <c r="J14" s="52"/>
      <c r="K14" s="53"/>
      <c r="L14" s="34"/>
    </row>
    <row r="15" spans="2:12" ht="18.75" customHeight="1" thickBot="1" x14ac:dyDescent="0.35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21" t="s">
        <v>187</v>
      </c>
      <c r="J15" s="74"/>
      <c r="K15" s="74"/>
      <c r="L15" s="34"/>
    </row>
    <row r="16" spans="2:12" ht="18.75" customHeight="1" thickBot="1" x14ac:dyDescent="0.35">
      <c r="B16" s="29"/>
      <c r="C16" s="74" t="s">
        <v>178</v>
      </c>
      <c r="D16" s="74"/>
      <c r="E16" s="74"/>
      <c r="F16" s="74"/>
      <c r="G16" s="74"/>
      <c r="H16" s="74"/>
      <c r="I16" s="74"/>
      <c r="J16" s="74"/>
      <c r="K16" s="74"/>
      <c r="L16" s="34"/>
    </row>
    <row r="17" spans="2:12" ht="18.75" customHeight="1" thickBot="1" x14ac:dyDescent="0.35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74" t="s">
        <v>187</v>
      </c>
      <c r="J17" s="74"/>
      <c r="K17" s="74"/>
      <c r="L17" s="34"/>
    </row>
    <row r="18" spans="2:12" ht="18.75" customHeight="1" thickBot="1" x14ac:dyDescent="0.35">
      <c r="B18" s="29"/>
      <c r="C18" s="74" t="s">
        <v>178</v>
      </c>
      <c r="D18" s="74" t="s">
        <v>179</v>
      </c>
      <c r="E18" s="74"/>
      <c r="F18" s="74"/>
      <c r="G18" s="74"/>
      <c r="H18" s="74"/>
      <c r="I18" s="74" t="s">
        <v>187</v>
      </c>
      <c r="J18" s="74"/>
      <c r="K18" s="74"/>
      <c r="L18" s="34"/>
    </row>
    <row r="19" spans="2:12" ht="18.75" customHeight="1" thickBot="1" x14ac:dyDescent="0.35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74" t="s">
        <v>187</v>
      </c>
      <c r="J19" s="74"/>
      <c r="K19" s="74"/>
      <c r="L19" s="34"/>
    </row>
    <row r="20" spans="2:12" ht="18" customHeight="1" thickBot="1" x14ac:dyDescent="0.35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8" thickBot="1" x14ac:dyDescent="0.35">
      <c r="C23" s="111" t="s">
        <v>166</v>
      </c>
      <c r="D23" s="111"/>
      <c r="E23" s="111"/>
    </row>
    <row r="24" spans="2:12" ht="14.4" customHeight="1" x14ac:dyDescent="0.3">
      <c r="C24" s="24" t="s">
        <v>167</v>
      </c>
      <c r="D24" s="118" t="s">
        <v>141</v>
      </c>
      <c r="E24" s="119"/>
    </row>
    <row r="25" spans="2:12" x14ac:dyDescent="0.3">
      <c r="C25" s="102" t="s">
        <v>148</v>
      </c>
      <c r="D25" s="122" t="s">
        <v>164</v>
      </c>
      <c r="E25" s="122"/>
    </row>
    <row r="26" spans="2:12" x14ac:dyDescent="0.3">
      <c r="C26" s="99" t="s">
        <v>154</v>
      </c>
      <c r="D26" s="120" t="s">
        <v>162</v>
      </c>
      <c r="E26" s="120"/>
    </row>
    <row r="27" spans="2:12" x14ac:dyDescent="0.3">
      <c r="C27" s="98" t="s">
        <v>152</v>
      </c>
      <c r="D27" s="121" t="s">
        <v>160</v>
      </c>
      <c r="E27" s="121"/>
    </row>
    <row r="28" spans="2:12" x14ac:dyDescent="0.3">
      <c r="C28" s="99" t="s">
        <v>151</v>
      </c>
      <c r="D28" s="120" t="s">
        <v>159</v>
      </c>
      <c r="E28" s="120"/>
    </row>
    <row r="29" spans="2:12" x14ac:dyDescent="0.3">
      <c r="C29" s="98" t="s">
        <v>150</v>
      </c>
      <c r="D29" s="121" t="s">
        <v>158</v>
      </c>
      <c r="E29" s="121"/>
    </row>
    <row r="30" spans="2:12" x14ac:dyDescent="0.3">
      <c r="C30" s="99" t="s">
        <v>157</v>
      </c>
      <c r="D30" s="120" t="s">
        <v>165</v>
      </c>
      <c r="E30" s="120"/>
    </row>
    <row r="31" spans="2:12" x14ac:dyDescent="0.3">
      <c r="C31" s="98" t="s">
        <v>153</v>
      </c>
      <c r="D31" s="121" t="s">
        <v>161</v>
      </c>
      <c r="E31" s="121"/>
    </row>
    <row r="32" spans="2:12" x14ac:dyDescent="0.3">
      <c r="C32" s="99" t="s">
        <v>149</v>
      </c>
      <c r="D32" s="120" t="s">
        <v>156</v>
      </c>
      <c r="E32" s="120"/>
    </row>
    <row r="33" spans="3:5" ht="15" thickBot="1" x14ac:dyDescent="0.35">
      <c r="C33" s="100" t="s">
        <v>155</v>
      </c>
      <c r="D33" s="117" t="s">
        <v>163</v>
      </c>
      <c r="E33" s="117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Normal="100" workbookViewId="0">
      <selection activeCell="H11" sqref="H11"/>
    </sheetView>
  </sheetViews>
  <sheetFormatPr defaultRowHeight="14.4" x14ac:dyDescent="0.3"/>
  <cols>
    <col min="1" max="1" width="2.6640625" customWidth="1"/>
    <col min="2" max="2" width="3.33203125" customWidth="1"/>
    <col min="3" max="3" width="18.6640625" customWidth="1"/>
    <col min="4" max="4" width="17.5546875" customWidth="1"/>
    <col min="5" max="5" width="12.44140625" customWidth="1"/>
    <col min="6" max="6" width="14.33203125" customWidth="1"/>
    <col min="7" max="7" width="10.5546875" customWidth="1"/>
    <col min="8" max="8" width="3.33203125" customWidth="1"/>
  </cols>
  <sheetData>
    <row r="2" spans="2:8" ht="15.6" x14ac:dyDescent="0.3">
      <c r="C2" s="4" t="s">
        <v>45</v>
      </c>
      <c r="D2" s="5"/>
      <c r="E2" s="6"/>
    </row>
    <row r="3" spans="2:8" ht="15" thickBot="1" x14ac:dyDescent="0.35"/>
    <row r="4" spans="2:8" ht="18" customHeight="1" thickBot="1" x14ac:dyDescent="0.35">
      <c r="B4" s="28"/>
      <c r="C4" s="75"/>
      <c r="D4" s="76"/>
      <c r="E4" s="77"/>
      <c r="F4" s="37"/>
      <c r="G4" s="37"/>
      <c r="H4" s="33"/>
    </row>
    <row r="5" spans="2:8" ht="18.75" customHeight="1" thickBot="1" x14ac:dyDescent="0.35">
      <c r="B5" s="29"/>
      <c r="C5" s="54"/>
      <c r="D5" s="55"/>
      <c r="E5" s="65" t="s">
        <v>41</v>
      </c>
      <c r="F5" s="55"/>
      <c r="G5" s="56"/>
      <c r="H5" s="34"/>
    </row>
    <row r="6" spans="2:8" ht="15" thickBot="1" x14ac:dyDescent="0.35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9.6" x14ac:dyDescent="0.3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3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3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3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35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35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zoomScaleNormal="100" workbookViewId="0">
      <selection activeCell="C5" sqref="C5:L8"/>
    </sheetView>
  </sheetViews>
  <sheetFormatPr defaultRowHeight="14.4" x14ac:dyDescent="0.3"/>
  <cols>
    <col min="1" max="1" width="2.6640625" customWidth="1"/>
    <col min="2" max="2" width="3.33203125" customWidth="1"/>
    <col min="3" max="3" width="17.6640625" customWidth="1"/>
    <col min="4" max="4" width="15.5546875" customWidth="1"/>
    <col min="5" max="5" width="10.109375" bestFit="1" customWidth="1"/>
    <col min="6" max="6" width="11.109375" bestFit="1" customWidth="1"/>
    <col min="7" max="7" width="8.33203125" bestFit="1" customWidth="1"/>
    <col min="8" max="8" width="16.6640625" bestFit="1" customWidth="1"/>
    <col min="9" max="9" width="9.33203125" customWidth="1"/>
    <col min="10" max="10" width="12.44140625" customWidth="1"/>
    <col min="11" max="11" width="7.6640625" bestFit="1" customWidth="1"/>
    <col min="12" max="12" width="8" bestFit="1" customWidth="1"/>
    <col min="13" max="13" width="3.33203125" customWidth="1"/>
    <col min="15" max="16" width="17.33203125" customWidth="1"/>
    <col min="17" max="17" width="11.109375" customWidth="1"/>
  </cols>
  <sheetData>
    <row r="2" spans="2:16" ht="15.6" x14ac:dyDescent="0.3">
      <c r="C2" s="4" t="s">
        <v>116</v>
      </c>
      <c r="D2" s="5"/>
      <c r="E2" s="5"/>
      <c r="F2" s="6"/>
    </row>
    <row r="3" spans="2:16" ht="15" thickBot="1" x14ac:dyDescent="0.35">
      <c r="F3" s="6"/>
    </row>
    <row r="4" spans="2:16" ht="15" thickBot="1" x14ac:dyDescent="0.35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35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15" thickBot="1" x14ac:dyDescent="0.35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9.6" x14ac:dyDescent="0.3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3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3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3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35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83"/>
      <c r="P11" s="83"/>
    </row>
    <row r="12" spans="2:16" ht="15" thickBot="1" x14ac:dyDescent="0.35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3">
      <c r="C17" s="9" t="s">
        <v>127</v>
      </c>
    </row>
    <row r="18" spans="3:3" x14ac:dyDescent="0.3">
      <c r="C18" t="s">
        <v>124</v>
      </c>
    </row>
    <row r="19" spans="3:3" ht="42" customHeight="1" x14ac:dyDescent="0.3"/>
    <row r="20" spans="3:3" x14ac:dyDescent="0.3">
      <c r="C20" t="s">
        <v>125</v>
      </c>
    </row>
    <row r="21" spans="3:3" x14ac:dyDescent="0.3">
      <c r="C21" t="s">
        <v>123</v>
      </c>
    </row>
    <row r="22" spans="3:3" x14ac:dyDescent="0.3">
      <c r="C22" t="s">
        <v>126</v>
      </c>
    </row>
    <row r="23" spans="3:3" ht="42" customHeight="1" x14ac:dyDescent="0.3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1:K6"/>
  <sheetViews>
    <sheetView workbookViewId="0">
      <selection activeCell="F6" sqref="F6"/>
    </sheetView>
  </sheetViews>
  <sheetFormatPr defaultRowHeight="14.4" x14ac:dyDescent="0.3"/>
  <cols>
    <col min="2" max="2" width="17.6640625" customWidth="1"/>
    <col min="3" max="3" width="15" customWidth="1"/>
    <col min="4" max="4" width="18.109375" customWidth="1"/>
    <col min="7" max="7" width="13.109375" customWidth="1"/>
  </cols>
  <sheetData>
    <row r="1" spans="2:11" ht="15" thickBot="1" x14ac:dyDescent="0.35"/>
    <row r="2" spans="2:11" ht="16.2" thickBot="1" x14ac:dyDescent="0.35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7" thickBot="1" x14ac:dyDescent="0.35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9.6" x14ac:dyDescent="0.3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3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3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17"/>
  <sheetViews>
    <sheetView topLeftCell="A6" workbookViewId="0">
      <selection activeCell="F22" sqref="F22"/>
    </sheetView>
  </sheetViews>
  <sheetFormatPr defaultRowHeight="14.4" x14ac:dyDescent="0.3"/>
  <cols>
    <col min="1" max="1" width="2.6640625" customWidth="1"/>
    <col min="2" max="2" width="3.33203125" customWidth="1"/>
    <col min="3" max="3" width="12.5546875" bestFit="1" customWidth="1"/>
    <col min="4" max="4" width="22.6640625" bestFit="1" customWidth="1"/>
    <col min="5" max="5" width="10.44140625" customWidth="1"/>
    <col min="6" max="6" width="18.6640625" customWidth="1"/>
    <col min="7" max="7" width="13.88671875" customWidth="1"/>
    <col min="8" max="8" width="10.88671875" bestFit="1" customWidth="1"/>
    <col min="9" max="9" width="9" bestFit="1" customWidth="1"/>
    <col min="10" max="10" width="8.6640625" bestFit="1" customWidth="1"/>
    <col min="11" max="11" width="7.88671875" bestFit="1" customWidth="1"/>
    <col min="12" max="12" width="8.33203125" bestFit="1" customWidth="1"/>
  </cols>
  <sheetData>
    <row r="1" spans="2:12" ht="15" customHeight="1" x14ac:dyDescent="0.3"/>
    <row r="2" spans="2:12" ht="15.6" x14ac:dyDescent="0.3">
      <c r="C2" s="4" t="s">
        <v>117</v>
      </c>
      <c r="D2" s="5"/>
      <c r="E2" s="6"/>
    </row>
    <row r="3" spans="2:12" ht="15" thickBot="1" x14ac:dyDescent="0.35"/>
    <row r="4" spans="2:12" ht="18" customHeight="1" thickBot="1" x14ac:dyDescent="0.35">
      <c r="B4" s="28"/>
      <c r="C4" s="75"/>
      <c r="D4" s="76"/>
      <c r="E4" s="77"/>
      <c r="F4" s="33"/>
    </row>
    <row r="5" spans="2:12" ht="18.75" customHeight="1" thickBot="1" x14ac:dyDescent="0.35">
      <c r="B5" s="29"/>
      <c r="C5" s="88" t="s">
        <v>41</v>
      </c>
      <c r="D5" s="55"/>
      <c r="E5" s="89"/>
      <c r="F5" s="82"/>
    </row>
    <row r="6" spans="2:12" ht="15" thickBot="1" x14ac:dyDescent="0.35">
      <c r="B6" s="29"/>
      <c r="C6" s="86" t="s">
        <v>2</v>
      </c>
      <c r="D6" s="87" t="s">
        <v>118</v>
      </c>
      <c r="E6" s="85">
        <v>2025</v>
      </c>
      <c r="F6" s="34"/>
    </row>
    <row r="7" spans="2:12" ht="39.6" x14ac:dyDescent="0.3">
      <c r="B7" s="29"/>
      <c r="C7" s="90" t="s">
        <v>119</v>
      </c>
      <c r="D7" s="91" t="s">
        <v>118</v>
      </c>
      <c r="E7" s="92" t="s">
        <v>120</v>
      </c>
      <c r="F7" s="34"/>
    </row>
    <row r="8" spans="2:12" ht="18.75" customHeight="1" x14ac:dyDescent="0.3">
      <c r="B8" s="29"/>
      <c r="C8" s="93" t="s">
        <v>50</v>
      </c>
      <c r="D8" s="94"/>
      <c r="E8" s="95" t="s">
        <v>130</v>
      </c>
      <c r="F8" s="34"/>
    </row>
    <row r="9" spans="2:12" ht="18.75" customHeight="1" thickBot="1" x14ac:dyDescent="0.35">
      <c r="B9" s="29"/>
      <c r="C9" s="80" t="str">
        <f>FI_Comm!E13</f>
        <v>ELC_FIN</v>
      </c>
      <c r="D9" s="13" t="s">
        <v>121</v>
      </c>
      <c r="E9" s="81">
        <f>100/GRID!H6</f>
        <v>113.63636363636364</v>
      </c>
      <c r="F9" s="34"/>
    </row>
    <row r="10" spans="2:12" ht="18" customHeight="1" thickBot="1" x14ac:dyDescent="0.35">
      <c r="B10" s="30"/>
      <c r="C10" s="31"/>
      <c r="D10" s="31"/>
      <c r="E10" s="31"/>
      <c r="F10" s="32"/>
    </row>
    <row r="12" spans="2:12" ht="15" thickBot="1" x14ac:dyDescent="0.35"/>
    <row r="13" spans="2:12" ht="16.2" thickBot="1" x14ac:dyDescent="0.35">
      <c r="C13" s="54"/>
      <c r="D13" s="55"/>
      <c r="E13" s="55"/>
      <c r="F13" s="65" t="s">
        <v>41</v>
      </c>
      <c r="G13" s="55"/>
      <c r="H13" s="55"/>
      <c r="I13" s="55"/>
      <c r="J13" s="55"/>
      <c r="K13" s="55"/>
      <c r="L13" s="56"/>
    </row>
    <row r="14" spans="2:12" ht="15" thickBot="1" x14ac:dyDescent="0.35">
      <c r="C14" s="66" t="s">
        <v>22</v>
      </c>
      <c r="D14" s="12" t="s">
        <v>136</v>
      </c>
      <c r="E14" s="12" t="s">
        <v>102</v>
      </c>
      <c r="F14" s="12" t="s">
        <v>42</v>
      </c>
      <c r="G14" s="12" t="s">
        <v>105</v>
      </c>
      <c r="H14" s="12" t="s">
        <v>106</v>
      </c>
      <c r="I14" s="12" t="s">
        <v>104</v>
      </c>
      <c r="J14" s="12" t="s">
        <v>107</v>
      </c>
      <c r="K14" s="12" t="s">
        <v>108</v>
      </c>
      <c r="L14" s="67" t="s">
        <v>109</v>
      </c>
    </row>
    <row r="15" spans="2:12" ht="39.6" x14ac:dyDescent="0.3">
      <c r="C15" s="68" t="s">
        <v>43</v>
      </c>
      <c r="D15" s="14" t="s">
        <v>32</v>
      </c>
      <c r="E15" s="14" t="s">
        <v>103</v>
      </c>
      <c r="F15" s="14" t="s">
        <v>44</v>
      </c>
      <c r="G15" s="14" t="s">
        <v>110</v>
      </c>
      <c r="H15" s="14" t="s">
        <v>111</v>
      </c>
      <c r="I15" s="14" t="s">
        <v>112</v>
      </c>
      <c r="J15" s="14" t="s">
        <v>113</v>
      </c>
      <c r="K15" s="14" t="s">
        <v>114</v>
      </c>
      <c r="L15" s="69" t="s">
        <v>115</v>
      </c>
    </row>
    <row r="16" spans="2:12" x14ac:dyDescent="0.3">
      <c r="C16" s="78" t="s">
        <v>50</v>
      </c>
      <c r="D16" s="15"/>
      <c r="E16" s="15"/>
      <c r="F16" s="15"/>
      <c r="G16" s="15" t="s">
        <v>69</v>
      </c>
      <c r="H16" s="15" t="s">
        <v>131</v>
      </c>
      <c r="I16" s="15" t="s">
        <v>122</v>
      </c>
      <c r="J16" s="15" t="s">
        <v>122</v>
      </c>
      <c r="K16" s="15" t="s">
        <v>76</v>
      </c>
      <c r="L16" s="79" t="s">
        <v>75</v>
      </c>
    </row>
    <row r="17" spans="3:12" ht="15" thickBot="1" x14ac:dyDescent="0.35">
      <c r="C17" s="109" t="str">
        <f>FI_Process!E19</f>
        <v>DMD_FIN_ELC</v>
      </c>
      <c r="D17" s="109" t="str">
        <f>FI_Process!F19</f>
        <v>Final electricity demand</v>
      </c>
      <c r="E17" s="109" t="str">
        <f>FI_Comm!E12</f>
        <v>ELC_LV</v>
      </c>
      <c r="F17" s="109" t="str">
        <f>FI_Comm!E13</f>
        <v>ELC_FIN</v>
      </c>
      <c r="G17" s="109"/>
      <c r="H17" s="109">
        <v>1</v>
      </c>
      <c r="I17" s="109">
        <v>1</v>
      </c>
      <c r="J17" s="109"/>
      <c r="K17" s="109"/>
      <c r="L17" s="109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Props1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Matilda Koffa</cp:lastModifiedBy>
  <dcterms:created xsi:type="dcterms:W3CDTF">2015-06-05T18:17:20Z</dcterms:created>
  <dcterms:modified xsi:type="dcterms:W3CDTF">2025-11-04T08:12:18Z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